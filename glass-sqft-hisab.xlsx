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qft হিসাব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<sst xmlns="http://schemas.openxmlformats.org/spreadsheetml/2006/main" count="29" uniqueCount="21">
  <si>
    <t xml:space="preserve">গ্লাস Sqft হিসাব</t>
  </si>
  <si>
    <t xml:space="preserve">মাপ: ইঞ্চি + সুতা (১ সুতা = ১/৮ ইঞ্চি) । সূত্র: ফুট = (ইঞ্চি + সুতা/৮) ÷ ১২ । মোট sqft = H ফুট × W ফুট × সেট</t>
  </si>
  <si>
    <t xml:space="preserve">ক্রম</t>
  </si>
  <si>
    <t xml:space="preserve">H ইঞ্চি</t>
  </si>
  <si>
    <t xml:space="preserve">H সুতা</t>
  </si>
  <si>
    <t xml:space="preserve">W ইঞ্চি</t>
  </si>
  <si>
    <t xml:space="preserve">W সুতা</t>
  </si>
  <si>
    <t xml:space="preserve">পাল্লা</t>
  </si>
  <si>
    <t xml:space="preserve">সেট</t>
  </si>
  <si>
    <t xml:space="preserve">মোট পাল্লা</t>
  </si>
  <si>
    <t xml:space="preserve">H ফুট</t>
  </si>
  <si>
    <t xml:space="preserve">W ফুট (প্রতি পাল্লা)</t>
  </si>
  <si>
    <t xml:space="preserve">প্রতি পাল্লা sqft</t>
  </si>
  <si>
    <t xml:space="preserve">মোট sqft</t>
  </si>
  <si>
    <t xml:space="preserve">গ্লাস</t>
  </si>
  <si>
    <t xml:space="preserve">দর (৳/sqft)</t>
  </si>
  <si>
    <t xml:space="preserve">মোট টাকা (৳)</t>
  </si>
  <si>
    <t xml:space="preserve">কফি লাইট</t>
  </si>
  <si>
    <t xml:space="preserve">মোট</t>
  </si>
  <si>
    <t xml:space="preserve">নীল লেখা = ইনপুট (স্ক্রিনশট থেকে নেওয়া মাপ) — বদলালে হিসাব নিজে নিজে আপডেট হবে।</t>
  </si>
  <si>
    <t xml:space="preserve">শেষ লাইনের (H 18-3 × W 13-3) গ্লাস/দর স্ক্রিনশটে কাটা পড়েছে — অন্যগুলোর মতো কফি লাইট ৳135 ধরা হয়েছে।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</si>
</sst>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0"/>
    <numFmt numFmtId="167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6" min="2" style="0" width="8"/>
    <col collapsed="false" customWidth="true" hidden="false" outlineLevel="0" max="7" min="7" style="0" width="7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1" min="10" style="0" width="12"/>
    <col collapsed="false" customWidth="true" hidden="false" outlineLevel="0" max="12" min="12" style="0" width="10"/>
    <col collapsed="false" customWidth="true" hidden="false" outlineLevel="0" max="14" min="13" style="0" width="12"/>
    <col collapsed="false" customWidth="true" hidden="false" outlineLevel="0" max="15" min="15" style="0" width="14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customFormat="false" ht="15" hidden="false" customHeight="false" outlineLevel="0" collapsed="false">
      <c r="A5" s="4" t="n">
        <v>1</v>
      </c>
      <c r="B5" s="5" t="n">
        <v>82</v>
      </c>
      <c r="C5" s="5" t="n">
        <v>6</v>
      </c>
      <c r="D5" s="5" t="n">
        <v>17</v>
      </c>
      <c r="E5" s="5" t="n">
        <v>2</v>
      </c>
      <c r="F5" s="5" t="n">
        <v>1</v>
      </c>
      <c r="G5" s="5" t="n">
        <v>2</v>
      </c>
      <c r="H5" s="6" t="n">
        <f aca="false">F5*G5</f>
        <v>2</v>
      </c>
      <c r="I5" s="7" t="n">
        <f aca="false">(B5+C5/8)/12</f>
        <v>6.89583333333333</v>
      </c>
      <c r="J5" s="7" t="n">
        <f aca="false">(D5+E5/8)/12/F5</f>
        <v>1.4375</v>
      </c>
      <c r="K5" s="7" t="n">
        <f aca="false">I5*J5</f>
        <v>9.91276041666667</v>
      </c>
      <c r="L5" s="7" t="n">
        <f aca="false">K5*H5</f>
        <v>19.8255208333333</v>
      </c>
      <c r="M5" s="4" t="s">
        <v>17</v>
      </c>
      <c r="N5" s="5" t="n">
        <v>135</v>
      </c>
      <c r="O5" s="8" t="n">
        <f aca="false">L5*N5</f>
        <v>2676.4453125</v>
      </c>
    </row>
    <row r="6" customFormat="false" ht="15" hidden="false" customHeight="false" outlineLevel="0" collapsed="false">
      <c r="A6" s="4" t="n">
        <v>2</v>
      </c>
      <c r="B6" s="5" t="n">
        <v>82</v>
      </c>
      <c r="C6" s="5" t="n">
        <v>0</v>
      </c>
      <c r="D6" s="5" t="n">
        <v>32</v>
      </c>
      <c r="E6" s="5" t="n">
        <v>0</v>
      </c>
      <c r="F6" s="5" t="n">
        <v>2</v>
      </c>
      <c r="G6" s="5" t="n">
        <v>2</v>
      </c>
      <c r="H6" s="6" t="n">
        <f aca="false">F6*G6</f>
        <v>4</v>
      </c>
      <c r="I6" s="7" t="n">
        <f aca="false">(B6+C6/8)/12</f>
        <v>6.83333333333333</v>
      </c>
      <c r="J6" s="7" t="n">
        <f aca="false">(D6+E6/8)/12/F6</f>
        <v>1.33333333333333</v>
      </c>
      <c r="K6" s="7" t="n">
        <f aca="false">I6*J6</f>
        <v>9.11111111111111</v>
      </c>
      <c r="L6" s="7" t="n">
        <f aca="false">K6*H6</f>
        <v>36.4444444444444</v>
      </c>
      <c r="M6" s="4" t="s">
        <v>17</v>
      </c>
      <c r="N6" s="5" t="n">
        <v>135</v>
      </c>
      <c r="O6" s="8" t="n">
        <f aca="false">L6*N6</f>
        <v>4920</v>
      </c>
    </row>
    <row r="7" customFormat="false" ht="15" hidden="false" customHeight="false" outlineLevel="0" collapsed="false">
      <c r="A7" s="4" t="n">
        <v>3</v>
      </c>
      <c r="B7" s="5" t="n">
        <v>16</v>
      </c>
      <c r="C7" s="5" t="n">
        <v>3</v>
      </c>
      <c r="D7" s="5" t="n">
        <v>15</v>
      </c>
      <c r="E7" s="5" t="n">
        <v>7</v>
      </c>
      <c r="F7" s="5" t="n">
        <v>1</v>
      </c>
      <c r="G7" s="5" t="n">
        <v>6</v>
      </c>
      <c r="H7" s="6" t="n">
        <f aca="false">F7*G7</f>
        <v>6</v>
      </c>
      <c r="I7" s="7" t="n">
        <f aca="false">(B7+C7/8)/12</f>
        <v>1.36458333333333</v>
      </c>
      <c r="J7" s="7" t="n">
        <f aca="false">(D7+E7/8)/12/F7</f>
        <v>1.32291666666667</v>
      </c>
      <c r="K7" s="7" t="n">
        <f aca="false">I7*J7</f>
        <v>1.80523003472222</v>
      </c>
      <c r="L7" s="7" t="n">
        <f aca="false">K7*H7</f>
        <v>10.8313802083333</v>
      </c>
      <c r="M7" s="4" t="s">
        <v>17</v>
      </c>
      <c r="N7" s="5" t="n">
        <v>135</v>
      </c>
      <c r="O7" s="8" t="n">
        <f aca="false">L7*N7</f>
        <v>1462.236328125</v>
      </c>
    </row>
    <row r="8" customFormat="false" ht="15" hidden="false" customHeight="false" outlineLevel="0" collapsed="false">
      <c r="A8" s="4" t="n">
        <v>4</v>
      </c>
      <c r="B8" s="5" t="n">
        <v>28</v>
      </c>
      <c r="C8" s="5" t="n">
        <v>0</v>
      </c>
      <c r="D8" s="5" t="n">
        <v>15</v>
      </c>
      <c r="E8" s="5" t="n">
        <v>2</v>
      </c>
      <c r="F8" s="5" t="n">
        <v>1</v>
      </c>
      <c r="G8" s="5" t="n">
        <v>4</v>
      </c>
      <c r="H8" s="6" t="n">
        <f aca="false">F8*G8</f>
        <v>4</v>
      </c>
      <c r="I8" s="7" t="n">
        <f aca="false">(B8+C8/8)/12</f>
        <v>2.33333333333333</v>
      </c>
      <c r="J8" s="7" t="n">
        <f aca="false">(D8+E8/8)/12/F8</f>
        <v>1.27083333333333</v>
      </c>
      <c r="K8" s="7" t="n">
        <f aca="false">I8*J8</f>
        <v>2.96527777777778</v>
      </c>
      <c r="L8" s="7" t="n">
        <f aca="false">K8*H8</f>
        <v>11.8611111111111</v>
      </c>
      <c r="M8" s="4" t="s">
        <v>17</v>
      </c>
      <c r="N8" s="5" t="n">
        <v>135</v>
      </c>
      <c r="O8" s="8" t="n">
        <f aca="false">L8*N8</f>
        <v>1601.25</v>
      </c>
    </row>
    <row r="9" customFormat="false" ht="15" hidden="false" customHeight="false" outlineLevel="0" collapsed="false">
      <c r="A9" s="4" t="n">
        <v>5</v>
      </c>
      <c r="B9" s="5" t="n">
        <v>16</v>
      </c>
      <c r="C9" s="5" t="n">
        <v>3</v>
      </c>
      <c r="D9" s="5" t="n">
        <v>18</v>
      </c>
      <c r="E9" s="5" t="n">
        <v>4</v>
      </c>
      <c r="F9" s="5" t="n">
        <v>1</v>
      </c>
      <c r="G9" s="5" t="n">
        <v>2</v>
      </c>
      <c r="H9" s="6" t="n">
        <f aca="false">F9*G9</f>
        <v>2</v>
      </c>
      <c r="I9" s="7" t="n">
        <f aca="false">(B9+C9/8)/12</f>
        <v>1.36458333333333</v>
      </c>
      <c r="J9" s="7" t="n">
        <f aca="false">(D9+E9/8)/12/F9</f>
        <v>1.54166666666667</v>
      </c>
      <c r="K9" s="7" t="n">
        <f aca="false">I9*J9</f>
        <v>2.10373263888889</v>
      </c>
      <c r="L9" s="7" t="n">
        <f aca="false">K9*H9</f>
        <v>4.20746527777778</v>
      </c>
      <c r="M9" s="4" t="s">
        <v>17</v>
      </c>
      <c r="N9" s="5" t="n">
        <v>135</v>
      </c>
      <c r="O9" s="8" t="n">
        <f aca="false">L9*N9</f>
        <v>568.0078125</v>
      </c>
    </row>
    <row r="10" customFormat="false" ht="15" hidden="false" customHeight="false" outlineLevel="0" collapsed="false">
      <c r="A10" s="4" t="n">
        <v>6</v>
      </c>
      <c r="B10" s="5" t="n">
        <v>51</v>
      </c>
      <c r="C10" s="5" t="n">
        <v>5</v>
      </c>
      <c r="D10" s="5" t="n">
        <v>15</v>
      </c>
      <c r="E10" s="5" t="n">
        <v>7</v>
      </c>
      <c r="F10" s="5" t="n">
        <v>1</v>
      </c>
      <c r="G10" s="5" t="n">
        <v>1</v>
      </c>
      <c r="H10" s="6" t="n">
        <f aca="false">F10*G10</f>
        <v>1</v>
      </c>
      <c r="I10" s="7" t="n">
        <f aca="false">(B10+C10/8)/12</f>
        <v>4.30208333333333</v>
      </c>
      <c r="J10" s="7" t="n">
        <f aca="false">(D10+E10/8)/12/F10</f>
        <v>1.32291666666667</v>
      </c>
      <c r="K10" s="7" t="n">
        <f aca="false">I10*J10</f>
        <v>5.69129774305556</v>
      </c>
      <c r="L10" s="7" t="n">
        <f aca="false">K10*H10</f>
        <v>5.69129774305556</v>
      </c>
      <c r="M10" s="4" t="s">
        <v>17</v>
      </c>
      <c r="N10" s="5" t="n">
        <v>135</v>
      </c>
      <c r="O10" s="8" t="n">
        <f aca="false">L10*N10</f>
        <v>768.3251953125</v>
      </c>
    </row>
    <row r="11" customFormat="false" ht="15" hidden="false" customHeight="false" outlineLevel="0" collapsed="false">
      <c r="A11" s="4" t="n">
        <v>7</v>
      </c>
      <c r="B11" s="5" t="n">
        <v>21</v>
      </c>
      <c r="C11" s="5" t="n">
        <v>0</v>
      </c>
      <c r="D11" s="5" t="n">
        <v>15</v>
      </c>
      <c r="E11" s="5" t="n">
        <v>0</v>
      </c>
      <c r="F11" s="5" t="n">
        <v>1</v>
      </c>
      <c r="G11" s="5" t="n">
        <v>1</v>
      </c>
      <c r="H11" s="6" t="n">
        <f aca="false">F11*G11</f>
        <v>1</v>
      </c>
      <c r="I11" s="7" t="n">
        <f aca="false">(B11+C11/8)/12</f>
        <v>1.75</v>
      </c>
      <c r="J11" s="7" t="n">
        <f aca="false">(D11+E11/8)/12/F11</f>
        <v>1.25</v>
      </c>
      <c r="K11" s="7" t="n">
        <f aca="false">I11*J11</f>
        <v>2.1875</v>
      </c>
      <c r="L11" s="7" t="n">
        <f aca="false">K11*H11</f>
        <v>2.1875</v>
      </c>
      <c r="M11" s="4" t="s">
        <v>17</v>
      </c>
      <c r="N11" s="5" t="n">
        <v>135</v>
      </c>
      <c r="O11" s="8" t="n">
        <f aca="false">L11*N11</f>
        <v>295.3125</v>
      </c>
    </row>
    <row r="12" customFormat="false" ht="15" hidden="false" customHeight="false" outlineLevel="0" collapsed="false">
      <c r="A12" s="4" t="n">
        <v>8</v>
      </c>
      <c r="B12" s="5" t="n">
        <v>21</v>
      </c>
      <c r="C12" s="5" t="n">
        <v>1</v>
      </c>
      <c r="D12" s="5" t="n">
        <v>10</v>
      </c>
      <c r="E12" s="5" t="n">
        <v>0</v>
      </c>
      <c r="F12" s="5" t="n">
        <v>1</v>
      </c>
      <c r="G12" s="5" t="n">
        <v>1</v>
      </c>
      <c r="H12" s="6" t="n">
        <f aca="false">F12*G12</f>
        <v>1</v>
      </c>
      <c r="I12" s="7" t="n">
        <f aca="false">(B12+C12/8)/12</f>
        <v>1.76041666666667</v>
      </c>
      <c r="J12" s="7" t="n">
        <f aca="false">(D12+E12/8)/12/F12</f>
        <v>0.833333333333333</v>
      </c>
      <c r="K12" s="7" t="n">
        <f aca="false">I12*J12</f>
        <v>1.46701388888889</v>
      </c>
      <c r="L12" s="7" t="n">
        <f aca="false">K12*H12</f>
        <v>1.46701388888889</v>
      </c>
      <c r="M12" s="4" t="s">
        <v>17</v>
      </c>
      <c r="N12" s="5" t="n">
        <v>135</v>
      </c>
      <c r="O12" s="8" t="n">
        <f aca="false">L12*N12</f>
        <v>198.046875</v>
      </c>
    </row>
    <row r="13" customFormat="false" ht="15" hidden="false" customHeight="false" outlineLevel="0" collapsed="false">
      <c r="A13" s="4" t="n">
        <v>9</v>
      </c>
      <c r="B13" s="5" t="n">
        <v>18</v>
      </c>
      <c r="C13" s="5" t="n">
        <v>3</v>
      </c>
      <c r="D13" s="5" t="n">
        <v>13</v>
      </c>
      <c r="E13" s="5" t="n">
        <v>3</v>
      </c>
      <c r="F13" s="5" t="n">
        <v>1</v>
      </c>
      <c r="G13" s="5" t="n">
        <v>4</v>
      </c>
      <c r="H13" s="6" t="n">
        <f aca="false">F13*G13</f>
        <v>4</v>
      </c>
      <c r="I13" s="7" t="n">
        <f aca="false">(B13+C13/8)/12</f>
        <v>1.53125</v>
      </c>
      <c r="J13" s="7" t="n">
        <f aca="false">(D13+E13/8)/12/F13</f>
        <v>1.11458333333333</v>
      </c>
      <c r="K13" s="7" t="n">
        <f aca="false">I13*J13</f>
        <v>1.70670572916667</v>
      </c>
      <c r="L13" s="7" t="n">
        <f aca="false">K13*H13</f>
        <v>6.82682291666667</v>
      </c>
      <c r="M13" s="4" t="s">
        <v>17</v>
      </c>
      <c r="N13" s="5" t="n">
        <v>135</v>
      </c>
      <c r="O13" s="8" t="n">
        <f aca="false">L13*N13</f>
        <v>921.62109375</v>
      </c>
    </row>
    <row r="14" customFormat="false" ht="15" hidden="false" customHeight="true" outlineLevel="0" collapsed="false">
      <c r="A14" s="9" t="s">
        <v>18</v>
      </c>
      <c r="B14" s="9"/>
      <c r="C14" s="9"/>
      <c r="D14" s="9"/>
      <c r="E14" s="9"/>
      <c r="F14" s="9"/>
      <c r="G14" s="9"/>
      <c r="H14" s="10" t="n">
        <f aca="false">SUM(H5:H13)</f>
        <v>25</v>
      </c>
      <c r="I14" s="10"/>
      <c r="J14" s="10"/>
      <c r="K14" s="10"/>
      <c r="L14" s="11" t="n">
        <f aca="false">SUM(L5:L13)</f>
        <v>99.3425564236111</v>
      </c>
      <c r="M14" s="10"/>
      <c r="N14" s="10"/>
      <c r="O14" s="12" t="n">
        <f aca="false">SUM(O5:O13)</f>
        <v>13411.2451171875</v>
      </c>
    </row>
    <row r="16" customFormat="false" ht="15" hidden="false" customHeight="false" outlineLevel="0" collapsed="false">
      <c r="A16" s="2" t="s">
        <v>19</v>
      </c>
    </row>
    <row r="17" customFormat="false" ht="15" hidden="false" customHeight="false" outlineLevel="0" collapsed="false">
      <c r="A17" s="2" t="s">
        <v>20</v>
      </c>
    </row>
  </sheetData>
  <mergeCells count="1"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2026-07-19T11:21:00Z</dcterms:created>
  <dc:creator>openpyxl</dc:creator>
  <dc:description/>
  <dc:language>en-US</dc:language>
  <cp:lastModifiedBy/>
  <dcterms:modified xsi:type="dcterms:W3CDTF">2026-07-19T11:21:00Z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